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neilsquiresoc.sharepoint.com/sites/Jake/Shared Documents/General/GitHub/Spoon_Stabilizer_Support/spoon-stabilizer-support/Documentation/Working_Documents/"/>
    </mc:Choice>
  </mc:AlternateContent>
  <xr:revisionPtr revIDLastSave="72" documentId="11_DC0E2523FAFE28515E8D5C5A1D4A6B02C3B15AFA" xr6:coauthVersionLast="47" xr6:coauthVersionMax="47" xr10:uidLastSave="{B9D3D076-7953-4A06-B20C-6DC61CBCEAAC}"/>
  <bookViews>
    <workbookView xWindow="29970" yWindow="1170" windowWidth="21600" windowHeight="11295" xr2:uid="{00000000-000D-0000-FFFF-FFFF00000000}"/>
  </bookViews>
  <sheets>
    <sheet name="B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F7" i="1"/>
  <c r="G7" i="1" s="1"/>
  <c r="D2" i="1" l="1"/>
  <c r="E2" i="1"/>
  <c r="E15" i="1"/>
  <c r="E16" i="1"/>
  <c r="E17" i="1"/>
  <c r="E18" i="1"/>
  <c r="E14" i="1"/>
  <c r="E19" i="1" l="1"/>
  <c r="C2" i="1" s="1"/>
  <c r="F6" i="1"/>
  <c r="G6" i="1" s="1"/>
  <c r="F5" i="1"/>
  <c r="G5" i="1" l="1"/>
  <c r="F2" i="1"/>
</calcChain>
</file>

<file path=xl/sharedStrings.xml><?xml version="1.0" encoding="utf-8"?>
<sst xmlns="http://schemas.openxmlformats.org/spreadsheetml/2006/main" count="49" uniqueCount="43">
  <si>
    <t>Total Cost</t>
  </si>
  <si>
    <t>Total Print time (hr)</t>
  </si>
  <si>
    <t>Total filament (g)</t>
  </si>
  <si>
    <r>
      <t xml:space="preserve">Version: </t>
    </r>
    <r>
      <rPr>
        <b/>
        <u/>
        <sz val="14"/>
        <color theme="1"/>
        <rFont val="Calibri"/>
        <family val="2"/>
        <scheme val="minor"/>
      </rPr>
      <t>V1.0</t>
    </r>
  </si>
  <si>
    <t>Part Name</t>
  </si>
  <si>
    <t>Quantity Needed</t>
  </si>
  <si>
    <t>Pkg Quantity</t>
  </si>
  <si>
    <t>Price per package</t>
  </si>
  <si>
    <t>Price per Unit</t>
  </si>
  <si>
    <t>Price for qty needed</t>
  </si>
  <si>
    <t>Link</t>
  </si>
  <si>
    <t>3D Printed Parts                                                                                     ESTIMATED PRICING USING 1KG ROLL COST:</t>
  </si>
  <si>
    <t>Part</t>
  </si>
  <si>
    <t>Description</t>
  </si>
  <si>
    <t>TOTAL Mass (g)</t>
  </si>
  <si>
    <t>Estimated Price</t>
  </si>
  <si>
    <t>Print Time (Min)</t>
  </si>
  <si>
    <t>Total Print Cost:</t>
  </si>
  <si>
    <t>Tools for Assembly</t>
  </si>
  <si>
    <t>Alternatives (if there are other sources for some parts link them below)</t>
  </si>
  <si>
    <t>Part and description</t>
  </si>
  <si>
    <t>Mechanical</t>
  </si>
  <si>
    <t>Computer Case Screws</t>
  </si>
  <si>
    <t>Fishing Weights</t>
  </si>
  <si>
    <t>Grip Handle</t>
  </si>
  <si>
    <t>Grip Insert</t>
  </si>
  <si>
    <t>Main Handle</t>
  </si>
  <si>
    <t>Handle endcap</t>
  </si>
  <si>
    <t>Connects spoon to bearing</t>
  </si>
  <si>
    <t>Connects to spoon</t>
  </si>
  <si>
    <t>Device: Spoon Stabilizer Support</t>
  </si>
  <si>
    <t>Spoon</t>
  </si>
  <si>
    <t>https://www.amazon.ca/gp/product/B07XLV1W2M</t>
  </si>
  <si>
    <t>Commercial Parts</t>
  </si>
  <si>
    <t>Part type (Electrical, Mechanical, Sanitization, etc)</t>
  </si>
  <si>
    <t>Insert</t>
  </si>
  <si>
    <t>Spoon attachment</t>
  </si>
  <si>
    <t>Bearing, 608-ZZ</t>
  </si>
  <si>
    <t>https://www.amazon.ca/gp/product/B07TXS98L6</t>
  </si>
  <si>
    <t>https://www.amazon.ca/gp/product/B0B1JBJ91F</t>
  </si>
  <si>
    <t>https://www.amazon.ca/Winco-0005-03-12-Piece-Dinner-Stainless/dp/B004UNF2II</t>
  </si>
  <si>
    <t>Unit Cost</t>
  </si>
  <si>
    <t>Last Updated: 2025-Dec-02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</si>
</sst>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1"/>
      <name val="Roboto Black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rgb="FFD9D9D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5" fillId="0" borderId="0" xfId="0" applyFont="1"/>
    <xf numFmtId="0" fontId="2" fillId="2" borderId="0" xfId="2" applyFont="1"/>
    <xf numFmtId="0" fontId="3" fillId="3" borderId="0" xfId="3" applyFont="1"/>
    <xf numFmtId="0" fontId="2" fillId="4" borderId="0" xfId="4" applyFont="1"/>
    <xf numFmtId="164" fontId="4" fillId="2" borderId="0" xfId="2" applyNumberFormat="1"/>
    <xf numFmtId="0" fontId="4" fillId="4" borderId="0" xfId="4"/>
    <xf numFmtId="0" fontId="0" fillId="5" borderId="1" xfId="0" applyFill="1" applyBorder="1"/>
    <xf numFmtId="0" fontId="6" fillId="0" borderId="0" xfId="5"/>
    <xf numFmtId="44" fontId="0" fillId="0" borderId="0" xfId="1" applyFont="1"/>
    <xf numFmtId="0" fontId="0" fillId="5" borderId="2" xfId="0" applyFill="1" applyBorder="1"/>
    <xf numFmtId="0" fontId="0" fillId="5" borderId="3" xfId="0" applyFill="1" applyBorder="1"/>
    <xf numFmtId="0" fontId="3" fillId="0" borderId="0" xfId="0" applyFont="1"/>
    <xf numFmtId="44" fontId="0" fillId="0" borderId="0" xfId="1" applyFont="1" applyFill="1"/>
    <xf numFmtId="0" fontId="8" fillId="0" borderId="0" xfId="0" applyFont="1"/>
    <xf numFmtId="0" fontId="7" fillId="5" borderId="1" xfId="0" applyFont="1" applyFill="1" applyBorder="1"/>
    <xf numFmtId="0" fontId="0" fillId="5" borderId="5" xfId="0" applyFill="1" applyBorder="1"/>
    <xf numFmtId="44" fontId="0" fillId="6" borderId="4" xfId="1" applyFont="1" applyFill="1" applyBorder="1"/>
    <xf numFmtId="0" fontId="0" fillId="6" borderId="4" xfId="0" applyFill="1" applyBorder="1"/>
    <xf numFmtId="0" fontId="0" fillId="5" borderId="6" xfId="0" applyFill="1" applyBorder="1"/>
    <xf numFmtId="0" fontId="3" fillId="6" borderId="4" xfId="0" applyFont="1" applyFill="1" applyBorder="1"/>
    <xf numFmtId="44" fontId="3" fillId="6" borderId="4" xfId="0" applyNumberFormat="1" applyFont="1" applyFill="1" applyBorder="1"/>
    <xf numFmtId="0" fontId="0" fillId="7" borderId="0" xfId="0" applyFill="1"/>
    <xf numFmtId="44" fontId="0" fillId="7" borderId="0" xfId="1" applyFont="1" applyFill="1" applyBorder="1"/>
    <xf numFmtId="2" fontId="10" fillId="3" borderId="0" xfId="3" applyNumberFormat="1" applyFont="1"/>
    <xf numFmtId="0" fontId="3" fillId="5" borderId="7" xfId="0" applyFont="1" applyFill="1" applyBorder="1"/>
    <xf numFmtId="0" fontId="0" fillId="5" borderId="8" xfId="0" applyFill="1" applyBorder="1"/>
    <xf numFmtId="0" fontId="0" fillId="0" borderId="9" xfId="0" applyBorder="1"/>
    <xf numFmtId="44" fontId="0" fillId="8" borderId="10" xfId="1" applyFont="1" applyFill="1" applyBorder="1"/>
    <xf numFmtId="0" fontId="0" fillId="5" borderId="11" xfId="0" applyFill="1" applyBorder="1"/>
    <xf numFmtId="0" fontId="0" fillId="8" borderId="1" xfId="0" applyFill="1" applyBorder="1"/>
    <xf numFmtId="44" fontId="0" fillId="0" borderId="0" xfId="1" applyFont="1" applyFill="1" applyBorder="1"/>
    <xf numFmtId="44" fontId="0" fillId="0" borderId="0" xfId="0" applyNumberFormat="1"/>
  </cellXfs>
  <cellStyles count="6">
    <cellStyle name="60% - Accent4" xfId="3" builtinId="44"/>
    <cellStyle name="Accent2" xfId="2" builtinId="33"/>
    <cellStyle name="Accent5" xfId="4" builtinId="45"/>
    <cellStyle name="Currency" xfId="1" builtinId="4"/>
    <cellStyle name="Hyperlink" xfId="5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a/gp/product/B07XLV1W2M" TargetMode="External"/><Relationship Id="rId2" Type="http://schemas.openxmlformats.org/officeDocument/2006/relationships/hyperlink" Target="https://www.amazon.ca/Winco-0005-03-12-Piece-Dinner-Stainless/dp/B004UNF2II" TargetMode="External"/><Relationship Id="rId1" Type="http://schemas.openxmlformats.org/officeDocument/2006/relationships/hyperlink" Target="https://www.amazon.ca/gp/product/B0B1JBJ91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amazon.ca/gp/product/B07TXS98L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A22" sqref="A22"/>
    </sheetView>
  </sheetViews>
  <sheetFormatPr defaultRowHeight="15" x14ac:dyDescent="0.25"/>
  <cols>
    <col min="1" max="1" width="89.42578125" bestFit="1" customWidth="1"/>
    <col min="2" max="2" width="37.28515625" bestFit="1" customWidth="1"/>
    <col min="3" max="4" width="15.85546875" customWidth="1"/>
    <col min="5" max="5" width="18.7109375" customWidth="1"/>
    <col min="6" max="6" width="15.140625" customWidth="1"/>
    <col min="7" max="7" width="20.42578125" customWidth="1"/>
    <col min="8" max="8" width="17.28515625" customWidth="1"/>
    <col min="9" max="9" width="17.42578125" bestFit="1" customWidth="1"/>
    <col min="10" max="10" width="17.7109375" bestFit="1" customWidth="1"/>
    <col min="11" max="11" width="12.28515625" bestFit="1" customWidth="1"/>
    <col min="12" max="12" width="89.85546875" bestFit="1" customWidth="1"/>
  </cols>
  <sheetData>
    <row r="1" spans="1:12" ht="35.25" x14ac:dyDescent="0.5">
      <c r="A1" s="1" t="s">
        <v>30</v>
      </c>
      <c r="C1" s="2" t="s">
        <v>0</v>
      </c>
      <c r="D1" s="3" t="s">
        <v>1</v>
      </c>
      <c r="E1" s="4" t="s">
        <v>2</v>
      </c>
      <c r="F1" t="s">
        <v>41</v>
      </c>
    </row>
    <row r="2" spans="1:12" ht="18.75" x14ac:dyDescent="0.3">
      <c r="A2" s="14" t="s">
        <v>3</v>
      </c>
      <c r="B2" s="12" t="s">
        <v>42</v>
      </c>
      <c r="C2" s="5">
        <f>SUM(E5:E12)+E19</f>
        <v>50.425000000000004</v>
      </c>
      <c r="D2" s="24">
        <f>SUM(F14:F18)/60</f>
        <v>4.9666666666666668</v>
      </c>
      <c r="E2" s="6">
        <f>SUM(D14:D18)</f>
        <v>33</v>
      </c>
      <c r="F2" s="32">
        <f>F5+F6+F7+F8+E19</f>
        <v>5.5488333333333335</v>
      </c>
    </row>
    <row r="3" spans="1:12" ht="16.5" thickBot="1" x14ac:dyDescent="0.3">
      <c r="A3" s="15" t="s">
        <v>33</v>
      </c>
    </row>
    <row r="4" spans="1:12" ht="15.75" thickBot="1" x14ac:dyDescent="0.3">
      <c r="A4" s="7" t="s">
        <v>34</v>
      </c>
      <c r="B4" s="7" t="s">
        <v>4</v>
      </c>
      <c r="C4" s="7" t="s">
        <v>5</v>
      </c>
      <c r="D4" s="7" t="s">
        <v>6</v>
      </c>
      <c r="E4" s="7" t="s">
        <v>7</v>
      </c>
      <c r="F4" s="16" t="s">
        <v>8</v>
      </c>
      <c r="G4" s="16" t="s">
        <v>9</v>
      </c>
      <c r="H4" s="7"/>
      <c r="I4" s="7" t="s">
        <v>10</v>
      </c>
      <c r="J4" s="7"/>
      <c r="K4" s="7"/>
    </row>
    <row r="5" spans="1:12" x14ac:dyDescent="0.25">
      <c r="A5" t="s">
        <v>21</v>
      </c>
      <c r="B5" t="s">
        <v>37</v>
      </c>
      <c r="C5">
        <v>1</v>
      </c>
      <c r="D5">
        <v>10</v>
      </c>
      <c r="E5" s="9">
        <v>11.55</v>
      </c>
      <c r="F5" s="17">
        <f>E5/D5</f>
        <v>1.155</v>
      </c>
      <c r="G5" s="17">
        <f>F5*C5</f>
        <v>1.155</v>
      </c>
      <c r="I5" s="8" t="s">
        <v>32</v>
      </c>
    </row>
    <row r="6" spans="1:12" x14ac:dyDescent="0.25">
      <c r="A6" t="s">
        <v>21</v>
      </c>
      <c r="B6" t="s">
        <v>22</v>
      </c>
      <c r="C6">
        <v>1</v>
      </c>
      <c r="D6">
        <v>10</v>
      </c>
      <c r="E6" s="9">
        <v>9.89</v>
      </c>
      <c r="F6" s="17">
        <f>E6/D6</f>
        <v>0.9890000000000001</v>
      </c>
      <c r="G6" s="17">
        <f>F6*C6</f>
        <v>0.9890000000000001</v>
      </c>
      <c r="I6" s="8" t="s">
        <v>38</v>
      </c>
    </row>
    <row r="7" spans="1:12" x14ac:dyDescent="0.25">
      <c r="A7" t="s">
        <v>21</v>
      </c>
      <c r="B7" t="s">
        <v>23</v>
      </c>
      <c r="C7">
        <v>2</v>
      </c>
      <c r="D7">
        <v>10</v>
      </c>
      <c r="E7" s="9">
        <v>13.99</v>
      </c>
      <c r="F7" s="17">
        <f t="shared" ref="F7:F8" si="0">E7/D7</f>
        <v>1.399</v>
      </c>
      <c r="G7" s="17">
        <f>F7*C7</f>
        <v>2.798</v>
      </c>
      <c r="I7" s="8" t="s">
        <v>39</v>
      </c>
    </row>
    <row r="8" spans="1:12" x14ac:dyDescent="0.25">
      <c r="A8" t="s">
        <v>21</v>
      </c>
      <c r="B8" t="s">
        <v>31</v>
      </c>
      <c r="C8">
        <v>1</v>
      </c>
      <c r="D8">
        <v>12</v>
      </c>
      <c r="E8" s="31">
        <v>14.17</v>
      </c>
      <c r="F8" s="17">
        <f t="shared" si="0"/>
        <v>1.1808333333333334</v>
      </c>
      <c r="G8" s="17">
        <f>F8*C8</f>
        <v>1.1808333333333334</v>
      </c>
      <c r="I8" s="8" t="s">
        <v>40</v>
      </c>
    </row>
    <row r="9" spans="1:12" x14ac:dyDescent="0.25">
      <c r="F9" s="17"/>
      <c r="G9" s="18"/>
    </row>
    <row r="11" spans="1:12" ht="15.75" thickBot="1" x14ac:dyDescent="0.3">
      <c r="B11" s="27"/>
      <c r="F11" s="22"/>
      <c r="G11" s="22"/>
    </row>
    <row r="12" spans="1:12" ht="15.75" thickBot="1" x14ac:dyDescent="0.3">
      <c r="A12" s="25" t="s">
        <v>11</v>
      </c>
      <c r="B12" s="28">
        <v>25</v>
      </c>
      <c r="E12" s="9"/>
      <c r="F12" s="23"/>
      <c r="G12" s="23"/>
      <c r="L12" s="8"/>
    </row>
    <row r="13" spans="1:12" ht="15.75" thickBot="1" x14ac:dyDescent="0.3">
      <c r="A13" s="7" t="s">
        <v>12</v>
      </c>
      <c r="B13" s="26" t="s">
        <v>13</v>
      </c>
      <c r="C13" s="7" t="s">
        <v>5</v>
      </c>
      <c r="D13" s="7" t="s">
        <v>14</v>
      </c>
      <c r="E13" s="16" t="s">
        <v>15</v>
      </c>
      <c r="F13" s="7" t="s">
        <v>16</v>
      </c>
      <c r="G13" s="7" t="s">
        <v>10</v>
      </c>
    </row>
    <row r="14" spans="1:12" x14ac:dyDescent="0.25">
      <c r="A14" t="s">
        <v>24</v>
      </c>
      <c r="B14" t="s">
        <v>26</v>
      </c>
      <c r="C14">
        <v>1</v>
      </c>
      <c r="D14">
        <v>26</v>
      </c>
      <c r="E14" s="17">
        <f>(D14/1000)*$B$12</f>
        <v>0.65</v>
      </c>
      <c r="F14">
        <v>224</v>
      </c>
      <c r="G14" s="8"/>
    </row>
    <row r="15" spans="1:12" x14ac:dyDescent="0.25">
      <c r="A15" t="s">
        <v>25</v>
      </c>
      <c r="B15" t="s">
        <v>27</v>
      </c>
      <c r="C15">
        <v>1</v>
      </c>
      <c r="D15">
        <v>2</v>
      </c>
      <c r="E15" s="17">
        <f t="shared" ref="E15:E18" si="1">(D15/1000)*$B$12</f>
        <v>0.05</v>
      </c>
      <c r="F15">
        <v>15</v>
      </c>
      <c r="G15" s="8"/>
    </row>
    <row r="16" spans="1:12" x14ac:dyDescent="0.25">
      <c r="A16" t="s">
        <v>35</v>
      </c>
      <c r="B16" t="s">
        <v>28</v>
      </c>
      <c r="C16">
        <v>1</v>
      </c>
      <c r="D16">
        <v>2</v>
      </c>
      <c r="E16" s="17">
        <f t="shared" si="1"/>
        <v>0.05</v>
      </c>
      <c r="F16">
        <v>27</v>
      </c>
      <c r="G16" s="8"/>
    </row>
    <row r="17" spans="1:12" x14ac:dyDescent="0.25">
      <c r="A17" t="s">
        <v>36</v>
      </c>
      <c r="B17" t="s">
        <v>29</v>
      </c>
      <c r="C17">
        <v>1</v>
      </c>
      <c r="D17">
        <v>3</v>
      </c>
      <c r="E17" s="17">
        <f t="shared" si="1"/>
        <v>7.4999999999999997E-2</v>
      </c>
      <c r="F17">
        <v>32</v>
      </c>
      <c r="G17" s="8"/>
    </row>
    <row r="18" spans="1:12" x14ac:dyDescent="0.25">
      <c r="E18" s="17">
        <f t="shared" si="1"/>
        <v>0</v>
      </c>
      <c r="G18" s="8"/>
    </row>
    <row r="19" spans="1:12" ht="15.75" thickBot="1" x14ac:dyDescent="0.3">
      <c r="A19" s="12"/>
      <c r="D19" s="20" t="s">
        <v>17</v>
      </c>
      <c r="E19" s="21">
        <f>SUM(E14:E18)</f>
        <v>0.82500000000000007</v>
      </c>
      <c r="G19" s="13"/>
    </row>
    <row r="20" spans="1:12" ht="15.75" thickBot="1" x14ac:dyDescent="0.3">
      <c r="A20" s="10" t="s">
        <v>18</v>
      </c>
      <c r="B20" s="11"/>
      <c r="C20" s="11"/>
      <c r="D20" s="19"/>
      <c r="E20" s="19"/>
      <c r="F20" s="11"/>
      <c r="G20" s="11"/>
      <c r="H20" s="11"/>
      <c r="I20" s="11"/>
      <c r="J20" s="11"/>
      <c r="K20" s="11"/>
      <c r="L20" s="11"/>
    </row>
    <row r="23" spans="1:12" ht="15.75" thickBot="1" x14ac:dyDescent="0.3"/>
    <row r="24" spans="1:12" ht="15.75" thickBot="1" x14ac:dyDescent="0.3">
      <c r="A24" s="29" t="s">
        <v>19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1:12" ht="15.75" thickBot="1" x14ac:dyDescent="0.3">
      <c r="A25" s="30" t="s">
        <v>20</v>
      </c>
      <c r="B25" s="30" t="s">
        <v>10</v>
      </c>
    </row>
  </sheetData>
  <hyperlinks>
    <hyperlink ref="I7" r:id="rId1" xr:uid="{FE12AF5F-AFA9-44D1-B1CC-9F166215A377}"/>
    <hyperlink ref="I8" r:id="rId2" xr:uid="{D6F5C66C-E02E-4867-9DA1-33C9404F69C6}"/>
    <hyperlink ref="I5" r:id="rId3" xr:uid="{0F23B5C8-58FE-46F2-B3D6-64BA94B87E06}"/>
    <hyperlink ref="I6" r:id="rId4" xr:uid="{109C74DB-E580-456B-B97B-8749C5F28CB5}"/>
  </hyperlinks>
  <pageMargins left="0.7" right="0.7" top="0.75" bottom="0.75" header="0.3" footer="0.3"/>
  <pageSetup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5913e6-4bf0-458f-8160-f18e142d04ff" xsi:nil="true"/>
    <lcf76f155ced4ddcb4097134ff3c332f xmlns="e718a8af-5d48-45b1-a7fb-cef00c107a7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C44D19606E8540AF995795CBBBCE63" ma:contentTypeVersion="16" ma:contentTypeDescription="Create a new document." ma:contentTypeScope="" ma:versionID="98db258ff80432777e1449e61201997a">
  <xsd:schema xmlns:xsd="http://www.w3.org/2001/XMLSchema" xmlns:xs="http://www.w3.org/2001/XMLSchema" xmlns:p="http://schemas.microsoft.com/office/2006/metadata/properties" xmlns:ns2="e718a8af-5d48-45b1-a7fb-cef00c107a7a" xmlns:ns3="715913e6-4bf0-458f-8160-f18e142d04ff" targetNamespace="http://schemas.microsoft.com/office/2006/metadata/properties" ma:root="true" ma:fieldsID="35a178bf703ca761fa2cab6c9a8e0e75" ns2:_="" ns3:_="">
    <xsd:import namespace="e718a8af-5d48-45b1-a7fb-cef00c107a7a"/>
    <xsd:import namespace="715913e6-4bf0-458f-8160-f18e142d04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8a8af-5d48-45b1-a7fb-cef00c107a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6ec1fed-e6ae-4c84-a4ac-123136fd93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5913e6-4bf0-458f-8160-f18e142d04ff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05470fb-f248-421d-a4ae-c1bb0b45488d}" ma:internalName="TaxCatchAll" ma:showField="CatchAllData" ma:web="715913e6-4bf0-458f-8160-f18e142d04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958292-C6C4-482B-887A-6CF9FB19AB74}">
  <ds:schemaRefs>
    <ds:schemaRef ds:uri="http://schemas.microsoft.com/office/2006/metadata/properties"/>
    <ds:schemaRef ds:uri="http://schemas.microsoft.com/office/infopath/2007/PartnerControls"/>
    <ds:schemaRef ds:uri="38b325e6-602c-452a-8617-173bf47082c5"/>
    <ds:schemaRef ds:uri="8cf100d1-0775-4feb-8634-62999c4541bc"/>
  </ds:schemaRefs>
</ds:datastoreItem>
</file>

<file path=customXml/itemProps2.xml><?xml version="1.0" encoding="utf-8"?>
<ds:datastoreItem xmlns:ds="http://schemas.openxmlformats.org/officeDocument/2006/customXml" ds:itemID="{CF0990AE-FB73-4524-9F30-8ED103D141E1}"/>
</file>

<file path=customXml/itemProps3.xml><?xml version="1.0" encoding="utf-8"?>
<ds:datastoreItem xmlns:ds="http://schemas.openxmlformats.org/officeDocument/2006/customXml" ds:itemID="{4740145F-09D2-466B-B9A2-2798696B0A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MMC Co-op</dc:creator>
  <cp:keywords/>
  <dc:description/>
  <cp:lastModifiedBy>Jake McIvor</cp:lastModifiedBy>
  <cp:revision/>
  <dcterms:created xsi:type="dcterms:W3CDTF">2021-04-20T01:54:08Z</dcterms:created>
  <dcterms:modified xsi:type="dcterms:W3CDTF">2025-12-02T19:21:44Z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0x0101001DC44D19606E8540AF995795CBBBCE63</vt:lpwstr>
  </property>
  <property fmtid="{D5CDD505-2E9C-101B-9397-08002B2CF9AE}" pid="3" name="MediaServiceImageTags">
    <vt:lpwstr/>
  </property>
</Properties>
</file>